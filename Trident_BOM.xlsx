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nja\Downloads\"/>
    </mc:Choice>
  </mc:AlternateContent>
  <xr:revisionPtr revIDLastSave="0" documentId="13_ncr:1_{A915D16E-E605-412A-88A3-CCAA3083F8A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Trident_BOM" sheetId="1" r:id="rId1"/>
  </sheets>
  <definedNames>
    <definedName name="_xlnm._FilterDatabase" localSheetId="0" hidden="1">Trident_BOM!$A$3:$H$3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/>
  <c r="G9" i="1"/>
  <c r="D9" i="1"/>
  <c r="G4" i="1"/>
</calcChain>
</file>

<file path=xl/sharedStrings.xml><?xml version="1.0" encoding="utf-8"?>
<sst xmlns="http://schemas.openxmlformats.org/spreadsheetml/2006/main" count="25" uniqueCount="23">
  <si>
    <t>Item #</t>
  </si>
  <si>
    <t>Manufacturer</t>
  </si>
  <si>
    <t xml:space="preserve">Trident Bill of Materials </t>
  </si>
  <si>
    <t>Item name</t>
  </si>
  <si>
    <t>Quantity</t>
  </si>
  <si>
    <t>2.8 inch SPI Screen Module TFT Interface 240 x 320 without Touch</t>
  </si>
  <si>
    <t>Price of each item</t>
  </si>
  <si>
    <t>Buying from</t>
  </si>
  <si>
    <t>Robu.in</t>
  </si>
  <si>
    <t>ESP32 (38 Pin) WiFi + Bluetooth NodeMCU-32 Development Board</t>
  </si>
  <si>
    <t xml:space="preserve">Dual Axis PS2 Joystick Module </t>
  </si>
  <si>
    <t>Embeddinator</t>
  </si>
  <si>
    <t>Amazon</t>
  </si>
  <si>
    <t>Robobraze.com</t>
  </si>
  <si>
    <t>2.54mm 0.1" 1x40Pin Female Socket Pin Row 40P Single Row Straight Female/Male Socket/Pin Header Connectors, Pack of 10</t>
  </si>
  <si>
    <t>KITS4CREATORS</t>
  </si>
  <si>
    <t>Shipping Cost</t>
  </si>
  <si>
    <t>Combined with above</t>
  </si>
  <si>
    <t>PCB</t>
  </si>
  <si>
    <t>lioncircuits.com</t>
  </si>
  <si>
    <t>lioncircuits</t>
  </si>
  <si>
    <t>Total</t>
  </si>
  <si>
    <t>Total Price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</si>
</sst>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3" topLeftCell="A4" activePane="bottomLeft" state="frozen"/>
      <selection pane="bottomLeft" activeCell="D4" sqref="D4"/>
    </sheetView>
  </sheetViews>
  <sheetFormatPr defaultRowHeight="14.5" x14ac:dyDescent="0.35"/>
  <cols>
    <col min="1" max="1" width="12" customWidth="1"/>
    <col min="2" max="2" width="18" customWidth="1"/>
    <col min="3" max="3" width="20.90625" customWidth="1"/>
    <col min="4" max="4" width="20" customWidth="1"/>
    <col min="5" max="5" width="25" customWidth="1"/>
    <col min="6" max="6" width="15" customWidth="1"/>
    <col min="7" max="7" width="45" customWidth="1"/>
    <col min="8" max="8" width="15" customWidth="1"/>
  </cols>
  <sheetData>
    <row r="1" spans="1:8" s="1" customFormat="1" ht="25" customHeight="1" x14ac:dyDescent="0.35">
      <c r="A1" s="4" t="s">
        <v>2</v>
      </c>
      <c r="B1" s="5"/>
      <c r="C1" s="5"/>
      <c r="D1" s="5"/>
      <c r="E1" s="5"/>
      <c r="F1" s="5"/>
      <c r="G1" s="5"/>
      <c r="H1" s="5"/>
    </row>
    <row r="2" spans="1:8" s="1" customFormat="1" x14ac:dyDescent="0.35">
      <c r="A2" s="6"/>
      <c r="B2" s="6"/>
      <c r="C2" s="6"/>
      <c r="D2" s="6"/>
      <c r="E2" s="6"/>
      <c r="F2" s="6"/>
      <c r="G2" s="6"/>
      <c r="H2" s="6"/>
    </row>
    <row r="3" spans="1:8" s="1" customFormat="1" ht="67.5" customHeight="1" x14ac:dyDescent="0.35">
      <c r="A3" s="7" t="s">
        <v>0</v>
      </c>
      <c r="B3" s="7" t="s">
        <v>1</v>
      </c>
      <c r="C3" s="7" t="s">
        <v>3</v>
      </c>
      <c r="D3" s="7" t="s">
        <v>4</v>
      </c>
      <c r="E3" s="7" t="s">
        <v>6</v>
      </c>
      <c r="F3" s="7" t="s">
        <v>16</v>
      </c>
      <c r="G3" s="7" t="s">
        <v>22</v>
      </c>
      <c r="H3" s="7" t="s">
        <v>7</v>
      </c>
    </row>
    <row r="4" spans="1:8" s="2" customFormat="1" ht="58" x14ac:dyDescent="0.35">
      <c r="A4" s="3">
        <v>1</v>
      </c>
      <c r="B4" s="3"/>
      <c r="C4" s="3" t="s">
        <v>5</v>
      </c>
      <c r="D4" s="3">
        <v>3</v>
      </c>
      <c r="E4" s="3">
        <v>516</v>
      </c>
      <c r="F4" s="3">
        <v>0</v>
      </c>
      <c r="G4" s="3">
        <f>516*3</f>
        <v>1548</v>
      </c>
      <c r="H4" s="3" t="s">
        <v>8</v>
      </c>
    </row>
    <row r="5" spans="1:8" s="2" customFormat="1" ht="43.5" x14ac:dyDescent="0.35">
      <c r="A5" s="3">
        <v>2</v>
      </c>
      <c r="B5" s="3"/>
      <c r="C5" s="3" t="s">
        <v>9</v>
      </c>
      <c r="D5" s="3">
        <v>1</v>
      </c>
      <c r="E5" s="3">
        <v>425</v>
      </c>
      <c r="F5" s="3">
        <v>49</v>
      </c>
      <c r="G5" s="3">
        <v>474</v>
      </c>
      <c r="H5" s="3" t="s">
        <v>13</v>
      </c>
    </row>
    <row r="6" spans="1:8" s="2" customFormat="1" ht="29" x14ac:dyDescent="0.35">
      <c r="A6" s="3">
        <v>3</v>
      </c>
      <c r="B6" s="3" t="s">
        <v>11</v>
      </c>
      <c r="C6" s="3" t="s">
        <v>10</v>
      </c>
      <c r="D6" s="3">
        <v>1</v>
      </c>
      <c r="E6" s="3">
        <v>99</v>
      </c>
      <c r="F6" s="3">
        <v>143</v>
      </c>
      <c r="G6" s="3">
        <v>371</v>
      </c>
      <c r="H6" s="3" t="s">
        <v>12</v>
      </c>
    </row>
    <row r="7" spans="1:8" s="2" customFormat="1" ht="87" x14ac:dyDescent="0.35">
      <c r="A7" s="3">
        <v>4</v>
      </c>
      <c r="B7" s="3" t="s">
        <v>15</v>
      </c>
      <c r="C7" s="3" t="s">
        <v>14</v>
      </c>
      <c r="D7" s="3">
        <v>1</v>
      </c>
      <c r="E7" s="2">
        <v>129</v>
      </c>
      <c r="F7" s="3" t="s">
        <v>17</v>
      </c>
      <c r="G7" s="3" t="s">
        <v>17</v>
      </c>
      <c r="H7" s="3" t="s">
        <v>12</v>
      </c>
    </row>
    <row r="8" spans="1:8" s="2" customFormat="1" x14ac:dyDescent="0.35">
      <c r="A8" s="3">
        <v>5</v>
      </c>
      <c r="B8" s="3" t="s">
        <v>20</v>
      </c>
      <c r="C8" s="3" t="s">
        <v>18</v>
      </c>
      <c r="D8" s="3">
        <v>1</v>
      </c>
      <c r="E8" s="2">
        <v>2161</v>
      </c>
      <c r="F8" s="3">
        <v>0</v>
      </c>
      <c r="G8" s="3">
        <v>2161</v>
      </c>
      <c r="H8" s="3" t="s">
        <v>19</v>
      </c>
    </row>
    <row r="9" spans="1:8" ht="40" customHeight="1" x14ac:dyDescent="0.35">
      <c r="A9" s="1"/>
      <c r="B9" s="1"/>
      <c r="C9" s="8" t="s">
        <v>21</v>
      </c>
      <c r="D9" s="9">
        <f>SUM(D4:D8)</f>
        <v>7</v>
      </c>
      <c r="E9" s="9">
        <f t="shared" ref="E9:H9" si="0">SUM(E4:E8)</f>
        <v>3330</v>
      </c>
      <c r="F9" s="9">
        <f t="shared" si="0"/>
        <v>192</v>
      </c>
      <c r="G9" s="9">
        <f t="shared" si="0"/>
        <v>4554</v>
      </c>
      <c r="H9" s="1"/>
    </row>
  </sheetData>
  <autoFilter ref="A3:H3" xr:uid="{00000000-0009-0000-0000-000000000000}"/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Trident_BOM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Revanshu Ranjan</cp:lastModifiedBy>
  <dcterms:created xsi:type="dcterms:W3CDTF">2026-06-15T10:07:31Z</dcterms:created>
  <dcterms:modified xsi:type="dcterms:W3CDTF">2026-06-15T17:20:11Z</dcterms:modified>
</cp:coreProperties>
</file>